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\Downloads\git sketchup mix\glass skin of house\"/>
    </mc:Choice>
  </mc:AlternateContent>
  <xr:revisionPtr revIDLastSave="0" documentId="13_ncr:1_{626F174E-9A51-466F-8AA6-A0C767C24D39}" xr6:coauthVersionLast="47" xr6:coauthVersionMax="47" xr10:uidLastSave="{00000000-0000-0000-0000-000000000000}"/>
  <bookViews>
    <workbookView xWindow="-120" yWindow="-120" windowWidth="38640" windowHeight="21120" xr2:uid="{886E5E22-01FD-4AB9-A261-FD4B71D86E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D4" i="1" s="1"/>
  <c r="D18" i="1"/>
  <c r="D17" i="1"/>
  <c r="D5" i="1"/>
  <c r="D6" i="1"/>
  <c r="D7" i="1"/>
  <c r="D8" i="1"/>
  <c r="D9" i="1"/>
  <c r="D14" i="1"/>
  <c r="D15" i="1"/>
  <c r="D16" i="1"/>
  <c r="D3" i="1"/>
  <c r="D19" i="1" l="1"/>
</calcChain>
</file>

<file path=xl/sharedStrings.xml><?xml version="1.0" encoding="utf-8"?>
<sst xmlns="http://schemas.openxmlformats.org/spreadsheetml/2006/main" count="20" uniqueCount="20">
  <si>
    <t>Materiales</t>
  </si>
  <si>
    <t>✓ 26 pieza - Vidrio bronce de 6 mm – Tamaño 816 mm x 720 mm</t>
  </si>
  <si>
    <t>✓ 1 angular - Angular de anclaje 33x33 – 2.2 mm espesor</t>
  </si>
  <si>
    <t>✓ 3 rollos - Cinta doble contacto rojo transparente – 33 m</t>
  </si>
  <si>
    <t>✓ 500 tornillos - Tornillos pequeño 6x1/2 – acero inoxidable</t>
  </si>
  <si>
    <t>✓ 36 tirafondo - Tornillos tirafondo – para llave 11 - acero inoxidable</t>
  </si>
  <si>
    <t>✓ 36 tarugos Fisher – tarugo nylon 8 mm</t>
  </si>
  <si>
    <t>✓ 3 rollitos de maskin – cinta maskin</t>
  </si>
  <si>
    <t>✓ 3 brazos - Brazo de 40cm</t>
  </si>
  <si>
    <t>✓ 3 seguros de ventana - Seguro tranca</t>
  </si>
  <si>
    <t>✓ X metros – Felpa</t>
  </si>
  <si>
    <t>Precio Unitario</t>
  </si>
  <si>
    <t>Cantidad</t>
  </si>
  <si>
    <t>✓ 10 tubos 30x60 - Tubos de aluminio champagne 30x60 – 1.2 mm espesor + 4 tubos adicionales</t>
  </si>
  <si>
    <t>✓ 2 tubos 30x30- Tubos de aluminio champagne 30x60 – 1.2 mm espesor + 4 tubos adicionales</t>
  </si>
  <si>
    <t>Total</t>
  </si>
  <si>
    <t>✓ Mano de obra instalador</t>
  </si>
  <si>
    <t>✓ Transporte</t>
  </si>
  <si>
    <t>✓ 26 pieza - Vidrio bronce de 6 mm – Tamaño 816 mm x 720 mm (MITAD)</t>
  </si>
  <si>
    <t>✓ 4 silicona salchicha - Silicona estructural certificado – 300 ml (MAESTRO)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</si>
</sst>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2A397-B0DB-4B57-BEC0-C4E782F0968F}">
  <dimension ref="A2:D19"/>
  <sheetViews>
    <sheetView tabSelected="1" zoomScale="175" zoomScaleNormal="175" workbookViewId="0">
      <selection activeCell="D19" sqref="D19"/>
    </sheetView>
  </sheetViews>
  <sheetFormatPr defaultRowHeight="15" x14ac:dyDescent="0.25"/>
  <cols>
    <col min="1" max="1" width="81.140625" bestFit="1" customWidth="1"/>
    <col min="2" max="2" width="14.28515625" bestFit="1" customWidth="1"/>
  </cols>
  <sheetData>
    <row r="2" spans="1:4" x14ac:dyDescent="0.25">
      <c r="A2" t="s">
        <v>0</v>
      </c>
      <c r="B2" t="s">
        <v>11</v>
      </c>
      <c r="C2" t="s">
        <v>12</v>
      </c>
      <c r="D2" t="s">
        <v>15</v>
      </c>
    </row>
    <row r="3" spans="1:4" x14ac:dyDescent="0.25">
      <c r="A3" t="s">
        <v>1</v>
      </c>
      <c r="B3" s="2">
        <v>1050</v>
      </c>
      <c r="C3" s="1">
        <v>4</v>
      </c>
      <c r="D3">
        <f>B3*C3</f>
        <v>4200</v>
      </c>
    </row>
    <row r="4" spans="1:4" x14ac:dyDescent="0.25">
      <c r="A4" t="s">
        <v>18</v>
      </c>
      <c r="B4" s="2">
        <f>B3/2</f>
        <v>525</v>
      </c>
      <c r="C4" s="1">
        <v>0</v>
      </c>
      <c r="D4">
        <f>B4*C4</f>
        <v>0</v>
      </c>
    </row>
    <row r="5" spans="1:4" x14ac:dyDescent="0.25">
      <c r="A5" t="s">
        <v>13</v>
      </c>
      <c r="B5" s="2">
        <v>220</v>
      </c>
      <c r="C5" s="1">
        <v>14</v>
      </c>
      <c r="D5">
        <f t="shared" ref="D5:D18" si="0">B5*C5</f>
        <v>3080</v>
      </c>
    </row>
    <row r="6" spans="1:4" x14ac:dyDescent="0.25">
      <c r="A6" t="s">
        <v>14</v>
      </c>
      <c r="B6" s="2">
        <v>150</v>
      </c>
      <c r="C6" s="1">
        <v>2</v>
      </c>
      <c r="D6">
        <f t="shared" si="0"/>
        <v>300</v>
      </c>
    </row>
    <row r="7" spans="1:4" x14ac:dyDescent="0.25">
      <c r="A7" t="s">
        <v>2</v>
      </c>
      <c r="B7" s="2">
        <v>159.80000000000001</v>
      </c>
      <c r="C7" s="1">
        <v>1</v>
      </c>
      <c r="D7">
        <f t="shared" si="0"/>
        <v>159.80000000000001</v>
      </c>
    </row>
    <row r="8" spans="1:4" x14ac:dyDescent="0.25">
      <c r="A8" t="s">
        <v>3</v>
      </c>
      <c r="B8" s="2">
        <v>60</v>
      </c>
      <c r="C8" s="1">
        <v>2</v>
      </c>
      <c r="D8">
        <f t="shared" si="0"/>
        <v>120</v>
      </c>
    </row>
    <row r="9" spans="1:4" x14ac:dyDescent="0.25">
      <c r="A9" t="s">
        <v>19</v>
      </c>
      <c r="B9" s="2">
        <v>42</v>
      </c>
      <c r="C9" s="1">
        <v>4</v>
      </c>
      <c r="D9">
        <f t="shared" si="0"/>
        <v>168</v>
      </c>
    </row>
    <row r="10" spans="1:4" x14ac:dyDescent="0.25">
      <c r="A10" t="s">
        <v>4</v>
      </c>
      <c r="B10" s="3">
        <v>165</v>
      </c>
      <c r="C10" s="4">
        <v>1</v>
      </c>
      <c r="D10">
        <v>0</v>
      </c>
    </row>
    <row r="11" spans="1:4" x14ac:dyDescent="0.25">
      <c r="A11" t="s">
        <v>5</v>
      </c>
      <c r="B11" s="3"/>
      <c r="C11" s="4"/>
      <c r="D11">
        <v>0</v>
      </c>
    </row>
    <row r="12" spans="1:4" x14ac:dyDescent="0.25">
      <c r="A12" t="s">
        <v>6</v>
      </c>
      <c r="B12" s="3"/>
      <c r="C12" s="4"/>
      <c r="D12">
        <v>0</v>
      </c>
    </row>
    <row r="13" spans="1:4" x14ac:dyDescent="0.25">
      <c r="A13" t="s">
        <v>7</v>
      </c>
      <c r="B13" s="3"/>
      <c r="C13" s="4"/>
      <c r="D13">
        <v>165</v>
      </c>
    </row>
    <row r="14" spans="1:4" x14ac:dyDescent="0.25">
      <c r="A14" t="s">
        <v>8</v>
      </c>
      <c r="B14" s="2">
        <v>57</v>
      </c>
      <c r="C14" s="1">
        <v>3</v>
      </c>
      <c r="D14">
        <f t="shared" si="0"/>
        <v>171</v>
      </c>
    </row>
    <row r="15" spans="1:4" x14ac:dyDescent="0.25">
      <c r="A15" t="s">
        <v>9</v>
      </c>
      <c r="B15" s="2">
        <v>28</v>
      </c>
      <c r="C15" s="1">
        <v>3</v>
      </c>
      <c r="D15">
        <f t="shared" si="0"/>
        <v>84</v>
      </c>
    </row>
    <row r="16" spans="1:4" x14ac:dyDescent="0.25">
      <c r="A16" t="s">
        <v>10</v>
      </c>
      <c r="B16" s="2">
        <v>2</v>
      </c>
      <c r="C16" s="1">
        <v>12</v>
      </c>
      <c r="D16">
        <f t="shared" si="0"/>
        <v>24</v>
      </c>
    </row>
    <row r="17" spans="1:4" x14ac:dyDescent="0.25">
      <c r="A17" t="s">
        <v>16</v>
      </c>
      <c r="B17" s="2">
        <v>1500</v>
      </c>
      <c r="C17" s="1">
        <v>1</v>
      </c>
      <c r="D17">
        <f t="shared" si="0"/>
        <v>1500</v>
      </c>
    </row>
    <row r="18" spans="1:4" x14ac:dyDescent="0.25">
      <c r="A18" t="s">
        <v>17</v>
      </c>
      <c r="B18" s="2">
        <v>50</v>
      </c>
      <c r="C18" s="1">
        <v>3</v>
      </c>
      <c r="D18">
        <f t="shared" si="0"/>
        <v>150</v>
      </c>
    </row>
    <row r="19" spans="1:4" x14ac:dyDescent="0.25">
      <c r="D19">
        <f>SUM(D3:D18)</f>
        <v>10121.799999999999</v>
      </c>
    </row>
  </sheetData>
  <mergeCells count="2">
    <mergeCell ref="B10:B13"/>
    <mergeCell ref="C10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VIC</cp:lastModifiedBy>
  <dcterms:created xsi:type="dcterms:W3CDTF">2025-12-24T03:22:06Z</dcterms:created>
  <dcterms:modified xsi:type="dcterms:W3CDTF">2025-12-24T12:45:57Z</dcterms:modified>
</cp:coreProperties>
</file>